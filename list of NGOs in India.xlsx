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amigos foundation\Task 1\"/>
    </mc:Choice>
  </mc:AlternateContent>
  <xr:revisionPtr revIDLastSave="0" documentId="13_ncr:1_{EC006419-AA79-42C7-ACCF-5ADF92CA602C}" xr6:coauthVersionLast="47" xr6:coauthVersionMax="47" xr10:uidLastSave="{00000000-0000-0000-0000-000000000000}"/>
  <bookViews>
    <workbookView xWindow="-120" yWindow="-120" windowWidth="20730" windowHeight="11160" xr2:uid="{352753DE-C9E1-429E-A749-7897447579BB}"/>
  </bookViews>
  <sheets>
    <sheet name="Dashboard" sheetId="4" r:id="rId1"/>
    <sheet name="NGO Database" sheetId="1" r:id="rId2"/>
    <sheet name="Pivot Table" sheetId="3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  <c r="B17" i="1"/>
  <c r="B18" i="1"/>
  <c r="B19" i="1"/>
  <c r="B20" i="1"/>
  <c r="B21" i="1"/>
  <c r="B22" i="1"/>
  <c r="B23" i="1"/>
</calcChain>
</file>

<file path=xl/sharedStrings.xml><?xml version="1.0" encoding="utf-8"?>
<sst xmlns="http://schemas.openxmlformats.org/spreadsheetml/2006/main" count="81" uniqueCount="67">
  <si>
    <t>S.No.</t>
  </si>
  <si>
    <t>NGO Name</t>
  </si>
  <si>
    <t>Website</t>
  </si>
  <si>
    <t>Area of Work</t>
  </si>
  <si>
    <t>Headquarters</t>
  </si>
  <si>
    <t>Key Initiatives</t>
  </si>
  <si>
    <t>Akshaya Patra Foundation</t>
  </si>
  <si>
    <t>https://www.akshayapatra.org</t>
  </si>
  <si>
    <t>Bengaluru, Karnataka</t>
  </si>
  <si>
    <t>Mid-Day Meal Programme, school nutrition, education support for children</t>
  </si>
  <si>
    <t>CRY (Child Rights and You)</t>
  </si>
  <si>
    <t>https://www.cry.org</t>
  </si>
  <si>
    <t>Mumbai, Maharashtra</t>
  </si>
  <si>
    <t>Child education, healthcare, protection from child labour and child marriage</t>
  </si>
  <si>
    <t>Smile Foundation</t>
  </si>
  <si>
    <t>https://www.smilefoundationindia.org</t>
  </si>
  <si>
    <t>New Delhi</t>
  </si>
  <si>
    <t>Mission Education, Smile on Wheels, women empowerment programmes</t>
  </si>
  <si>
    <t>Goonj</t>
  </si>
  <si>
    <t>https://goonj.org</t>
  </si>
  <si>
    <t>Cloth for Work, disaster relief, community development</t>
  </si>
  <si>
    <t>HelpAge India</t>
  </si>
  <si>
    <t>https://www.helpageindia.org</t>
  </si>
  <si>
    <t>Mobile healthcare units, elder rights advocacy, livelihood support</t>
  </si>
  <si>
    <t>SEWA (Self Employed Women's Association)</t>
  </si>
  <si>
    <t>https://www.sewa.org</t>
  </si>
  <si>
    <t>Ahmedabad, Gujarat</t>
  </si>
  <si>
    <t>Skill development, financial inclusion, healthcare, social security</t>
  </si>
  <si>
    <t>WWF-India</t>
  </si>
  <si>
    <t>https://www.wwfindia.org</t>
  </si>
  <si>
    <t>Wildlife conservation, climate action, biodiversity protection, environmental education</t>
  </si>
  <si>
    <t>People for Animals (PFA)</t>
  </si>
  <si>
    <t>https://www.peopleforanimalsindia.org</t>
  </si>
  <si>
    <t>Animal Welfare</t>
  </si>
  <si>
    <t>Animal rescue, shelters, ambulance services, sterilization and awareness programmes</t>
  </si>
  <si>
    <t>Pratham Education Foundation</t>
  </si>
  <si>
    <t>https://www.pratham.org</t>
  </si>
  <si>
    <t>ASER Survey, Read India Programme, vocational training</t>
  </si>
  <si>
    <t>Teach For India</t>
  </si>
  <si>
    <t>https://www.teachforindia.org</t>
  </si>
  <si>
    <t>Education</t>
  </si>
  <si>
    <t>Fellowship Programme, leadership development, improving educational opportunities for underprivileged children</t>
  </si>
  <si>
    <t>Environment</t>
  </si>
  <si>
    <t>NGO Research &amp; Data Collection</t>
  </si>
  <si>
    <t>Metric</t>
  </si>
  <si>
    <t>Formula</t>
  </si>
  <si>
    <t>Total NGOs</t>
  </si>
  <si>
    <t>Education NGOs</t>
  </si>
  <si>
    <t>Healthcare NGOs</t>
  </si>
  <si>
    <t>Environment NGOs</t>
  </si>
  <si>
    <t>Rural Development NGOs</t>
  </si>
  <si>
    <t>Women Empowerment</t>
  </si>
  <si>
    <t>Child Rights</t>
  </si>
  <si>
    <t>Rural Development</t>
  </si>
  <si>
    <t>Healthcare</t>
  </si>
  <si>
    <t>Child Rights NGOs</t>
  </si>
  <si>
    <t>Animal Welfare NGOs</t>
  </si>
  <si>
    <t>Summary Table</t>
  </si>
  <si>
    <t>Row Labels</t>
  </si>
  <si>
    <t>Grand Total</t>
  </si>
  <si>
    <t>Insights</t>
  </si>
  <si>
    <t>Education is the largest sector, representing 3 of 10 NGOs (30%).</t>
  </si>
  <si>
    <t>Women Empowerment is the second-largest focus, with 2 NGOs (20%).</t>
  </si>
  <si>
    <t>New Delhi and Mumbai are the main NGO hubs, hosting 8 of 10 NGOs (80%) combined.</t>
  </si>
  <si>
    <t>The dataset covers seven social-impact areas, showing broad focus across education, healthcare, rights, development, environment, and animal welfare.</t>
  </si>
  <si>
    <t>Count of Headquarters</t>
  </si>
  <si>
    <r>
      <rPr>
        <b/>
        <sz val="16"/>
        <color theme="8" tint="-0.499984740745262"/>
        <rFont val="Calibri"/>
        <family val="2"/>
        <scheme val="minor"/>
      </rPr>
      <t xml:space="preserve">                                           </t>
    </r>
    <r>
      <rPr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</si>
</sst>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sz val="10"/>
      <color theme="1"/>
      <name val="Arial Unicode MS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rgb="FF70AD47"/>
      </left>
      <right/>
      <top style="thin">
        <color rgb="FF70AD47"/>
      </top>
      <bottom style="thin">
        <color rgb="FFA9D18E"/>
      </bottom>
      <diagonal/>
    </border>
    <border>
      <left/>
      <right/>
      <top style="thin">
        <color rgb="FF70AD47"/>
      </top>
      <bottom style="thin">
        <color rgb="FFA9D18E"/>
      </bottom>
      <diagonal/>
    </border>
    <border>
      <left/>
      <right style="thin">
        <color rgb="FF70AD47"/>
      </right>
      <top style="thin">
        <color rgb="FF70AD47"/>
      </top>
      <bottom style="thin">
        <color rgb="FFA9D18E"/>
      </bottom>
      <diagonal/>
    </border>
    <border>
      <left style="thin">
        <color rgb="FF70AD47"/>
      </left>
      <right/>
      <top style="thin">
        <color rgb="FFA9D18E"/>
      </top>
      <bottom style="thin">
        <color rgb="FFA9D18E"/>
      </bottom>
      <diagonal/>
    </border>
    <border>
      <left/>
      <right/>
      <top style="thin">
        <color rgb="FFA9D18E"/>
      </top>
      <bottom style="thin">
        <color rgb="FFA9D18E"/>
      </bottom>
      <diagonal/>
    </border>
    <border>
      <left/>
      <right style="thin">
        <color rgb="FF70AD47"/>
      </right>
      <top style="thin">
        <color rgb="FFA9D18E"/>
      </top>
      <bottom style="thin">
        <color rgb="FFA9D18E"/>
      </bottom>
      <diagonal/>
    </border>
    <border>
      <left style="thin">
        <color rgb="FF70AD47"/>
      </left>
      <right/>
      <top style="thin">
        <color rgb="FFA9D18E"/>
      </top>
      <bottom style="thin">
        <color rgb="FF70AD47"/>
      </bottom>
      <diagonal/>
    </border>
    <border>
      <left/>
      <right/>
      <top style="thin">
        <color rgb="FFA9D18E"/>
      </top>
      <bottom style="thin">
        <color rgb="FF70AD47"/>
      </bottom>
      <diagonal/>
    </border>
    <border>
      <left/>
      <right style="thin">
        <color rgb="FF70AD47"/>
      </right>
      <top style="thin">
        <color rgb="FFA9D18E"/>
      </top>
      <bottom style="thin">
        <color rgb="FF70AD4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1" fillId="6" borderId="1" xfId="0" applyFont="1" applyFill="1" applyBorder="1" applyAlignment="1">
      <alignment horizontal="center" vertical="center" wrapText="1"/>
    </xf>
    <xf numFmtId="0" fontId="6" fillId="0" borderId="0" xfId="0" pivotButton="1" applyFont="1"/>
    <xf numFmtId="0" fontId="6" fillId="0" borderId="0" xfId="0" applyFont="1"/>
    <xf numFmtId="0" fontId="6" fillId="0" borderId="0" xfId="0" applyFont="1" applyAlignment="1">
      <alignment horizontal="left"/>
    </xf>
    <xf numFmtId="0" fontId="0" fillId="7" borderId="1" xfId="0" applyFill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9" borderId="8" xfId="0" applyFont="1" applyFill="1" applyBorder="1" applyAlignment="1">
      <alignment vertical="center" wrapText="1" indent="1"/>
    </xf>
    <xf numFmtId="0" fontId="9" fillId="9" borderId="9" xfId="0" applyFont="1" applyFill="1" applyBorder="1" applyAlignment="1">
      <alignment vertical="center" wrapText="1" indent="1"/>
    </xf>
    <xf numFmtId="0" fontId="9" fillId="9" borderId="10" xfId="0" applyFont="1" applyFill="1" applyBorder="1" applyAlignment="1">
      <alignment vertical="center" wrapText="1" indent="1"/>
    </xf>
    <xf numFmtId="0" fontId="9" fillId="9" borderId="11" xfId="0" applyFont="1" applyFill="1" applyBorder="1" applyAlignment="1">
      <alignment vertical="center" wrapText="1" indent="1"/>
    </xf>
    <xf numFmtId="0" fontId="9" fillId="9" borderId="12" xfId="0" applyFont="1" applyFill="1" applyBorder="1" applyAlignment="1">
      <alignment vertical="center" wrapText="1" indent="1"/>
    </xf>
    <xf numFmtId="0" fontId="9" fillId="9" borderId="13" xfId="0" applyFont="1" applyFill="1" applyBorder="1" applyAlignment="1">
      <alignment vertical="center" wrapText="1" indent="1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6" fillId="0" borderId="0" xfId="0" applyNumberFormat="1" applyFont="1"/>
  </cellXfs>
  <cellStyles count="2">
    <cellStyle name="Hyperlink" xfId="1" builtinId="8"/>
    <cellStyle name="Normal" xfId="0" builtinId="0"/>
  </cellStyles>
  <dxfs count="22">
    <dxf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fgColor theme="5" tint="0.39994506668294322"/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49998474074526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 of NGOs in India.xlsx]Pivot Table!PivotTable2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432150930685968E-2"/>
              <c:y val="7.6166132499769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1142797304562397E-2"/>
              <c:y val="-8.78238963848111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f-ZA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New Delhi</c:v>
                </c:pt>
                <c:pt idx="1">
                  <c:v>Mumbai, Maharashtra</c:v>
                </c:pt>
                <c:pt idx="2">
                  <c:v>Ahmedabad, Gujarat</c:v>
                </c:pt>
                <c:pt idx="3">
                  <c:v>Bengaluru, Karnataka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B62-4FDB-BCA5-405DE00B9D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424932114033291"/>
          <c:y val="0.2148468565892783"/>
          <c:w val="0.37501100546869681"/>
          <c:h val="0.679547610196794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f-ZA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 of NGOs in India.xlsx]Pivot Table!PivotTable2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NGOs BY HEADQUARTERS(Top Cities)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f-Z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New Delhi</c:v>
                </c:pt>
                <c:pt idx="1">
                  <c:v>Mumbai, Maharashtra</c:v>
                </c:pt>
                <c:pt idx="2">
                  <c:v>Ahmedabad, Gujarat</c:v>
                </c:pt>
                <c:pt idx="3">
                  <c:v>Bengaluru, Karnataka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F-49C6-86D9-32E607746C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4489343"/>
        <c:axId val="1011462495"/>
      </c:barChart>
      <c:catAx>
        <c:axId val="9544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af-ZA"/>
          </a:p>
        </c:txPr>
        <c:crossAx val="1011462495"/>
        <c:crosses val="autoZero"/>
        <c:auto val="1"/>
        <c:lblAlgn val="ctr"/>
        <c:lblOffset val="100"/>
        <c:noMultiLvlLbl val="0"/>
      </c:catAx>
      <c:valAx>
        <c:axId val="10114624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Number of NGOs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f-ZA"/>
          </a:p>
        </c:txPr>
        <c:crossAx val="954489343"/>
        <c:crosses val="autoZero"/>
        <c:crossBetween val="between"/>
      </c:valAx>
      <c:spPr>
        <a:noFill/>
        <a:ln cmpd="thinThick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f-Z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 of NGOs in India.xlsx]Pivot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NGOs BY HEADQUARTERS(Top Cities)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f-Z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New Delhi</c:v>
                </c:pt>
                <c:pt idx="1">
                  <c:v>Mumbai, Maharashtra</c:v>
                </c:pt>
                <c:pt idx="2">
                  <c:v>Ahmedabad, Gujarat</c:v>
                </c:pt>
                <c:pt idx="3">
                  <c:v>Bengaluru, Karnataka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74A-489E-A658-B989A3C8FE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4489343"/>
        <c:axId val="1011462495"/>
      </c:barChart>
      <c:catAx>
        <c:axId val="9544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af-ZA"/>
          </a:p>
        </c:txPr>
        <c:crossAx val="1011462495"/>
        <c:auto val="1"/>
        <c:lblAlgn val="ctr"/>
        <c:lblOffset val="100"/>
        <c:noMultiLvlLbl val="0"/>
      </c:catAx>
      <c:valAx>
        <c:axId val="10114624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Number of NGOs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f-ZA"/>
          </a:p>
        </c:txPr>
        <c:crossAx val="954489343"/>
        <c:crossBetween val="between"/>
      </c:valAx>
      <c:spPr>
        <a:noFill/>
        <a:ln cmpd="thinThick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f-Z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7</xdr:row>
      <xdr:rowOff>0</xdr:rowOff>
    </xdr:from>
    <xdr:to>
      <xdr:col>1</xdr:col>
      <xdr:colOff>495300</xdr:colOff>
      <xdr:row>14</xdr:row>
      <xdr:rowOff>619125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8D5F4A8-0811-D85F-0AC2-2252A5947C89}"/>
            </a:ext>
          </a:extLst>
        </xdr:cNvPr>
        <xdr:cNvSpPr/>
      </xdr:nvSpPr>
      <xdr:spPr>
        <a:xfrm>
          <a:off x="200025" y="1200150"/>
          <a:ext cx="1343025" cy="18192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af-ZA" sz="1100"/>
        </a:p>
        <a:p>
          <a:pPr algn="l"/>
          <a:endParaRPr lang="af-ZA" sz="1100"/>
        </a:p>
        <a:p>
          <a:pPr algn="l"/>
          <a:endParaRPr lang="af-ZA" sz="1100"/>
        </a:p>
        <a:p>
          <a:pPr algn="l"/>
          <a:endParaRPr lang="af-ZA" sz="1100"/>
        </a:p>
        <a:p>
          <a:pPr algn="l"/>
          <a:r>
            <a:rPr lang="af-ZA" sz="1100" baseline="0">
              <a:solidFill>
                <a:schemeClr val="accent6"/>
              </a:solidFill>
            </a:rPr>
            <a:t>           </a:t>
          </a:r>
          <a:r>
            <a:rPr lang="af-ZA" sz="2400" baseline="0">
              <a:solidFill>
                <a:schemeClr val="accent6"/>
              </a:solidFill>
            </a:rPr>
            <a:t>10</a:t>
          </a:r>
        </a:p>
        <a:p>
          <a:pPr algn="l"/>
          <a:r>
            <a:rPr lang="af-ZA" sz="1100">
              <a:solidFill>
                <a:sysClr val="windowText" lastClr="000000"/>
              </a:solidFill>
            </a:rPr>
            <a:t>       Total NGOs   </a:t>
          </a:r>
        </a:p>
        <a:p>
          <a:pPr algn="l"/>
          <a:r>
            <a:rPr lang="af-ZA" sz="1100">
              <a:solidFill>
                <a:sysClr val="windowText" lastClr="000000"/>
              </a:solidFill>
            </a:rPr>
            <a:t>       Researched</a:t>
          </a:r>
        </a:p>
      </xdr:txBody>
    </xdr:sp>
    <xdr:clientData/>
  </xdr:twoCellAnchor>
  <xdr:twoCellAnchor>
    <xdr:from>
      <xdr:col>5</xdr:col>
      <xdr:colOff>47625</xdr:colOff>
      <xdr:row>6</xdr:row>
      <xdr:rowOff>142875</xdr:rowOff>
    </xdr:from>
    <xdr:to>
      <xdr:col>7</xdr:col>
      <xdr:colOff>171450</xdr:colOff>
      <xdr:row>14</xdr:row>
      <xdr:rowOff>590550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5E0E664-E9D5-4AE4-BCBF-63D270644EDE}"/>
            </a:ext>
          </a:extLst>
        </xdr:cNvPr>
        <xdr:cNvSpPr/>
      </xdr:nvSpPr>
      <xdr:spPr>
        <a:xfrm>
          <a:off x="4686300" y="1171575"/>
          <a:ext cx="1343025" cy="18192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af-ZA" sz="1100"/>
        </a:p>
        <a:p>
          <a:pPr algn="l"/>
          <a:endParaRPr lang="af-ZA" sz="1100"/>
        </a:p>
        <a:p>
          <a:pPr algn="l"/>
          <a:endParaRPr lang="af-ZA" sz="1100"/>
        </a:p>
        <a:p>
          <a:pPr algn="l"/>
          <a:endParaRPr lang="af-ZA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f-ZA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</a:t>
          </a:r>
          <a:r>
            <a:rPr kumimoji="0" lang="af-ZA" sz="2400" b="0" i="0" u="none" strike="noStrike" kern="0" cap="none" spc="0" normalizeH="0" baseline="0" noProof="0">
              <a:ln>
                <a:noFill/>
              </a:ln>
              <a:solidFill>
                <a:srgbClr val="70AD47"/>
              </a:solidFill>
              <a:effectLst/>
              <a:uLnTx/>
              <a:uFillTx/>
              <a:latin typeface="+mn-lt"/>
              <a:ea typeface="+mn-ea"/>
              <a:cs typeface="+mn-cs"/>
            </a:rPr>
            <a:t>25+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f-ZA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Key initiatives                  Documented</a:t>
          </a:r>
        </a:p>
        <a:p>
          <a:pPr algn="l"/>
          <a:endParaRPr lang="af-ZA" sz="1100"/>
        </a:p>
      </xdr:txBody>
    </xdr:sp>
    <xdr:clientData/>
  </xdr:twoCellAnchor>
  <xdr:twoCellAnchor>
    <xdr:from>
      <xdr:col>3</xdr:col>
      <xdr:colOff>142875</xdr:colOff>
      <xdr:row>6</xdr:row>
      <xdr:rowOff>152400</xdr:rowOff>
    </xdr:from>
    <xdr:to>
      <xdr:col>4</xdr:col>
      <xdr:colOff>876300</xdr:colOff>
      <xdr:row>14</xdr:row>
      <xdr:rowOff>600075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5252D59-6ACE-4BF7-B1F6-28FDCA935B42}"/>
            </a:ext>
          </a:extLst>
        </xdr:cNvPr>
        <xdr:cNvSpPr/>
      </xdr:nvSpPr>
      <xdr:spPr>
        <a:xfrm>
          <a:off x="3143250" y="1181100"/>
          <a:ext cx="1343025" cy="18192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af-ZA" sz="1100"/>
        </a:p>
        <a:p>
          <a:pPr algn="l"/>
          <a:endParaRPr lang="af-ZA" sz="1100"/>
        </a:p>
        <a:p>
          <a:pPr algn="l"/>
          <a:endParaRPr lang="af-ZA" sz="1100"/>
        </a:p>
        <a:p>
          <a:pPr algn="l"/>
          <a:endParaRPr lang="af-ZA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f-ZA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</a:t>
          </a:r>
          <a:r>
            <a:rPr kumimoji="0" lang="af-ZA" sz="2400" b="0" i="0" u="none" strike="noStrike" kern="0" cap="none" spc="0" normalizeH="0" baseline="0" noProof="0">
              <a:ln>
                <a:noFill/>
              </a:ln>
              <a:solidFill>
                <a:srgbClr val="70AD47"/>
              </a:solidFill>
              <a:effectLst/>
              <a:uLnTx/>
              <a:uFillTx/>
              <a:latin typeface="+mn-lt"/>
              <a:ea typeface="+mn-ea"/>
              <a:cs typeface="+mn-cs"/>
            </a:rPr>
            <a:t>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f-ZA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Cities                   Covered</a:t>
          </a:r>
        </a:p>
        <a:p>
          <a:pPr algn="l"/>
          <a:endParaRPr lang="af-ZA" sz="1100"/>
        </a:p>
        <a:p>
          <a:pPr algn="l"/>
          <a:r>
            <a:rPr lang="af-ZA" sz="1100" baseline="0"/>
            <a:t>        </a:t>
          </a:r>
          <a:endParaRPr lang="af-ZA" sz="1100"/>
        </a:p>
      </xdr:txBody>
    </xdr:sp>
    <xdr:clientData/>
  </xdr:twoCellAnchor>
  <xdr:twoCellAnchor>
    <xdr:from>
      <xdr:col>1</xdr:col>
      <xdr:colOff>619125</xdr:colOff>
      <xdr:row>6</xdr:row>
      <xdr:rowOff>161925</xdr:rowOff>
    </xdr:from>
    <xdr:to>
      <xdr:col>3</xdr:col>
      <xdr:colOff>9525</xdr:colOff>
      <xdr:row>14</xdr:row>
      <xdr:rowOff>609600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2A51109-130A-431B-960C-7B65D51CA884}"/>
            </a:ext>
          </a:extLst>
        </xdr:cNvPr>
        <xdr:cNvSpPr/>
      </xdr:nvSpPr>
      <xdr:spPr>
        <a:xfrm>
          <a:off x="1666875" y="1190625"/>
          <a:ext cx="1343025" cy="18192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af-ZA" sz="1100"/>
        </a:p>
        <a:p>
          <a:pPr algn="l"/>
          <a:endParaRPr lang="af-ZA" sz="1100"/>
        </a:p>
        <a:p>
          <a:pPr algn="l"/>
          <a:endParaRPr lang="af-ZA" sz="1100"/>
        </a:p>
        <a:p>
          <a:pPr algn="l"/>
          <a:endParaRPr lang="af-ZA" sz="1100"/>
        </a:p>
        <a:p>
          <a:pPr marL="0" indent="0" algn="l"/>
          <a:r>
            <a:rPr lang="af-ZA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</a:t>
          </a:r>
          <a:r>
            <a:rPr lang="af-ZA" sz="2400" baseline="0">
              <a:solidFill>
                <a:schemeClr val="accent6"/>
              </a:solidFill>
              <a:latin typeface="+mn-lt"/>
              <a:ea typeface="+mn-ea"/>
              <a:cs typeface="+mn-cs"/>
            </a:rPr>
            <a:t>7</a:t>
          </a:r>
        </a:p>
        <a:p>
          <a:pPr marL="0" indent="0" algn="ctr"/>
          <a:r>
            <a:rPr lang="af-ZA" sz="11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Social Sectors                   Covered</a:t>
          </a:r>
        </a:p>
        <a:p>
          <a:pPr algn="l"/>
          <a:endParaRPr lang="af-ZA" sz="1100"/>
        </a:p>
      </xdr:txBody>
    </xdr:sp>
    <xdr:clientData/>
  </xdr:twoCellAnchor>
  <xdr:twoCellAnchor editAs="oneCell">
    <xdr:from>
      <xdr:col>3</xdr:col>
      <xdr:colOff>542926</xdr:colOff>
      <xdr:row>8</xdr:row>
      <xdr:rowOff>19051</xdr:rowOff>
    </xdr:from>
    <xdr:to>
      <xdr:col>4</xdr:col>
      <xdr:colOff>504825</xdr:colOff>
      <xdr:row>11</xdr:row>
      <xdr:rowOff>76200</xdr:rowOff>
    </xdr:to>
    <xdr:pic>
      <xdr:nvPicPr>
        <xdr:cNvPr id="7" name="Graphic 6" descr="Marker with solid fill">
          <a:extLst>
            <a:ext uri="{FF2B5EF4-FFF2-40B4-BE49-F238E27FC236}">
              <a16:creationId xmlns:a16="http://schemas.microsoft.com/office/drawing/2014/main" id="{B07AEE6B-C405-CBD2-638E-876DE0495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43301" y="1390651"/>
          <a:ext cx="571499" cy="571499"/>
        </a:xfrm>
        <a:prstGeom prst="rect">
          <a:avLst/>
        </a:prstGeom>
      </xdr:spPr>
    </xdr:pic>
    <xdr:clientData/>
  </xdr:twoCellAnchor>
  <xdr:twoCellAnchor editAs="oneCell">
    <xdr:from>
      <xdr:col>5</xdr:col>
      <xdr:colOff>504824</xdr:colOff>
      <xdr:row>8</xdr:row>
      <xdr:rowOff>85725</xdr:rowOff>
    </xdr:from>
    <xdr:to>
      <xdr:col>6</xdr:col>
      <xdr:colOff>361949</xdr:colOff>
      <xdr:row>11</xdr:row>
      <xdr:rowOff>38100</xdr:rowOff>
    </xdr:to>
    <xdr:pic>
      <xdr:nvPicPr>
        <xdr:cNvPr id="9" name="Graphic 8" descr="Checklist with solid fill">
          <a:extLst>
            <a:ext uri="{FF2B5EF4-FFF2-40B4-BE49-F238E27FC236}">
              <a16:creationId xmlns:a16="http://schemas.microsoft.com/office/drawing/2014/main" id="{20C8C9A4-E268-D214-DED1-D475631AF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schemeClr val="accent2">
              <a:shade val="45000"/>
              <a:satMod val="135000"/>
            </a:schemeClr>
            <a:prstClr val="white"/>
          </a:duotone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143499" y="14573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0</xdr:col>
      <xdr:colOff>638175</xdr:colOff>
      <xdr:row>8</xdr:row>
      <xdr:rowOff>113690</xdr:rowOff>
    </xdr:from>
    <xdr:to>
      <xdr:col>1</xdr:col>
      <xdr:colOff>85725</xdr:colOff>
      <xdr:row>11</xdr:row>
      <xdr:rowOff>94640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C223ED7-8074-51F3-90FD-89342937B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485290"/>
          <a:ext cx="495300" cy="495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1038226</xdr:colOff>
      <xdr:row>8</xdr:row>
      <xdr:rowOff>68038</xdr:rowOff>
    </xdr:from>
    <xdr:to>
      <xdr:col>2</xdr:col>
      <xdr:colOff>523875</xdr:colOff>
      <xdr:row>11</xdr:row>
      <xdr:rowOff>106137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1F33D55-B1D9-A6D6-5EC7-C7A1C075B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colorTemperature colorTemp="5580"/>
                  </a14:imgEffect>
                  <a14:imgEffect>
                    <a14:saturation sat="17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085976" y="1439638"/>
          <a:ext cx="552449" cy="552449"/>
        </a:xfrm>
        <a:prstGeom prst="rect">
          <a:avLst/>
        </a:prstGeom>
        <a:noFill/>
      </xdr:spPr>
    </xdr:pic>
    <xdr:clientData/>
  </xdr:twoCellAnchor>
  <xdr:twoCellAnchor>
    <xdr:from>
      <xdr:col>7</xdr:col>
      <xdr:colOff>323850</xdr:colOff>
      <xdr:row>6</xdr:row>
      <xdr:rowOff>104775</xdr:rowOff>
    </xdr:from>
    <xdr:to>
      <xdr:col>8</xdr:col>
      <xdr:colOff>3267075</xdr:colOff>
      <xdr:row>15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D18E8B3-DCFB-422A-81FC-6A8538281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3352800</xdr:colOff>
      <xdr:row>6</xdr:row>
      <xdr:rowOff>95250</xdr:rowOff>
    </xdr:from>
    <xdr:to>
      <xdr:col>8</xdr:col>
      <xdr:colOff>6781800</xdr:colOff>
      <xdr:row>14</xdr:row>
      <xdr:rowOff>1019175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2EC03C-69AC-4146-B416-59B481E00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704851</xdr:colOff>
      <xdr:row>1</xdr:row>
      <xdr:rowOff>95250</xdr:rowOff>
    </xdr:from>
    <xdr:to>
      <xdr:col>7</xdr:col>
      <xdr:colOff>390526</xdr:colOff>
      <xdr:row>5</xdr:row>
      <xdr:rowOff>104775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D960189-4FFE-0477-E1CF-E6B6015D100A}"/>
            </a:ext>
          </a:extLst>
        </xdr:cNvPr>
        <xdr:cNvSpPr/>
      </xdr:nvSpPr>
      <xdr:spPr>
        <a:xfrm>
          <a:off x="704851" y="266700"/>
          <a:ext cx="5543550" cy="6953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af-ZA" sz="2400">
              <a:solidFill>
                <a:schemeClr val="accent1">
                  <a:lumMod val="75000"/>
                </a:schemeClr>
              </a:solidFill>
            </a:rPr>
            <a:t>NGO RESEARCH AND DATA COLLECTION REPORT </a:t>
          </a:r>
        </a:p>
      </xdr:txBody>
    </xdr:sp>
    <xdr:clientData/>
  </xdr:twoCellAnchor>
  <xdr:twoCellAnchor>
    <xdr:from>
      <xdr:col>7</xdr:col>
      <xdr:colOff>542925</xdr:colOff>
      <xdr:row>1</xdr:row>
      <xdr:rowOff>85725</xdr:rowOff>
    </xdr:from>
    <xdr:to>
      <xdr:col>8</xdr:col>
      <xdr:colOff>3248024</xdr:colOff>
      <xdr:row>5</xdr:row>
      <xdr:rowOff>133351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60D02B0-3E45-1E60-8D2B-DE81C93B28B8}"/>
            </a:ext>
          </a:extLst>
        </xdr:cNvPr>
        <xdr:cNvSpPr/>
      </xdr:nvSpPr>
      <xdr:spPr>
        <a:xfrm>
          <a:off x="6400800" y="257175"/>
          <a:ext cx="3314699" cy="733426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af-ZA" sz="1200" b="0">
              <a:solidFill>
                <a:schemeClr val="tx2">
                  <a:lumMod val="50000"/>
                </a:schemeClr>
              </a:solidFill>
            </a:rPr>
            <a:t>Prepared</a:t>
          </a:r>
          <a:r>
            <a:rPr lang="af-ZA" sz="1200" b="0" baseline="0">
              <a:solidFill>
                <a:schemeClr val="tx2">
                  <a:lumMod val="50000"/>
                </a:schemeClr>
              </a:solidFill>
            </a:rPr>
            <a:t> By      :     Aditya Singh</a:t>
          </a:r>
        </a:p>
        <a:p>
          <a:pPr algn="l"/>
          <a:r>
            <a:rPr lang="af-ZA" sz="1200" b="0" baseline="0">
              <a:solidFill>
                <a:schemeClr val="tx2">
                  <a:lumMod val="50000"/>
                </a:schemeClr>
              </a:solidFill>
            </a:rPr>
            <a:t>Internship         :     InAmigos Foundation</a:t>
          </a:r>
        </a:p>
        <a:p>
          <a:pPr algn="l"/>
          <a:r>
            <a:rPr lang="af-ZA" sz="1200" b="0" baseline="0">
              <a:solidFill>
                <a:schemeClr val="tx2">
                  <a:lumMod val="50000"/>
                </a:schemeClr>
              </a:solidFill>
            </a:rPr>
            <a:t>Date                   :     04 Aug 2026</a:t>
          </a:r>
          <a:endParaRPr lang="af-ZA" sz="1200" b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370417</xdr:colOff>
      <xdr:row>24</xdr:row>
      <xdr:rowOff>95250</xdr:rowOff>
    </xdr:from>
    <xdr:to>
      <xdr:col>7</xdr:col>
      <xdr:colOff>57150</xdr:colOff>
      <xdr:row>29</xdr:row>
      <xdr:rowOff>57150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5EF253C-AE1E-7302-E3B3-277FBD485A49}"/>
            </a:ext>
          </a:extLst>
        </xdr:cNvPr>
        <xdr:cNvSpPr/>
      </xdr:nvSpPr>
      <xdr:spPr>
        <a:xfrm>
          <a:off x="5016500" y="5259917"/>
          <a:ext cx="9144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af-Z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2</xdr:row>
      <xdr:rowOff>9525</xdr:rowOff>
    </xdr:from>
    <xdr:to>
      <xdr:col>5</xdr:col>
      <xdr:colOff>152401</xdr:colOff>
      <xdr:row>11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7B9F2E-7829-3CB4-DED7-1670ADD67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38.876995833336" createdVersion="8" refreshedVersion="8" minRefreshableVersion="3" recordCount="10" xr:uid="{5DD4F9DE-163F-4398-95F4-D5FA417BB6B2}">
  <cacheSource type="worksheet">
    <worksheetSource name="Table1"/>
  </cacheSource>
  <cacheFields count="6">
    <cacheField name="S.No." numFmtId="0">
      <sharedItems containsSemiMixedTypes="0" containsString="0" containsNumber="1" containsInteger="1" minValue="1" maxValue="10"/>
    </cacheField>
    <cacheField name="NGO Name" numFmtId="0">
      <sharedItems count="10">
        <s v="Akshaya Patra Foundation"/>
        <s v="CRY (Child Rights and You)"/>
        <s v="Smile Foundation"/>
        <s v="Goonj"/>
        <s v="HelpAge India"/>
        <s v="SEWA (Self Employed Women's Association)"/>
        <s v="WWF-India"/>
        <s v="People for Animals (PFA)"/>
        <s v="Pratham Education Foundation"/>
        <s v="Teach For India"/>
      </sharedItems>
    </cacheField>
    <cacheField name="Website" numFmtId="0">
      <sharedItems/>
    </cacheField>
    <cacheField name="Area of Work" numFmtId="0">
      <sharedItems count="7">
        <s v="Education"/>
        <s v="Child Rights"/>
        <s v="Women Empowerment"/>
        <s v="Rural Development"/>
        <s v="Healthcare"/>
        <s v="Environment"/>
        <s v="Animal Welfare"/>
      </sharedItems>
    </cacheField>
    <cacheField name="Headquarters" numFmtId="0">
      <sharedItems count="4">
        <s v="Bengaluru, Karnataka"/>
        <s v="Mumbai, Maharashtra"/>
        <s v="New Delhi"/>
        <s v="Ahmedabad, Gujarat"/>
      </sharedItems>
    </cacheField>
    <cacheField name="Key Initiatives" numFmtId="0">
      <sharedItems count="10">
        <s v="Mid-Day Meal Programme, school nutrition, education support for children"/>
        <s v="Child education, healthcare, protection from child labour and child marriage"/>
        <s v="Mission Education, Smile on Wheels, women empowerment programmes"/>
        <s v="Cloth for Work, disaster relief, community development"/>
        <s v="Mobile healthcare units, elder rights advocacy, livelihood support"/>
        <s v="Skill development, financial inclusion, healthcare, social security"/>
        <s v="Wildlife conservation, climate action, biodiversity protection, environmental education"/>
        <s v="Animal rescue, shelters, ambulance services, sterilization and awareness programmes"/>
        <s v="ASER Survey, Read India Programme, vocational training"/>
        <s v="Fellowship Programme, leadership development, improving educational opportunities for underprivileged childr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s v="https://www.akshayapatra.org"/>
    <x v="0"/>
    <x v="0"/>
    <x v="0"/>
  </r>
  <r>
    <n v="2"/>
    <x v="1"/>
    <s v="https://www.cry.org"/>
    <x v="1"/>
    <x v="1"/>
    <x v="1"/>
  </r>
  <r>
    <n v="3"/>
    <x v="2"/>
    <s v="https://www.smilefoundationindia.org"/>
    <x v="2"/>
    <x v="2"/>
    <x v="2"/>
  </r>
  <r>
    <n v="4"/>
    <x v="3"/>
    <s v="https://goonj.org"/>
    <x v="3"/>
    <x v="2"/>
    <x v="3"/>
  </r>
  <r>
    <n v="5"/>
    <x v="4"/>
    <s v="https://www.helpageindia.org"/>
    <x v="4"/>
    <x v="2"/>
    <x v="4"/>
  </r>
  <r>
    <n v="6"/>
    <x v="5"/>
    <s v="https://www.sewa.org"/>
    <x v="2"/>
    <x v="3"/>
    <x v="5"/>
  </r>
  <r>
    <n v="7"/>
    <x v="6"/>
    <s v="https://www.wwfindia.org"/>
    <x v="5"/>
    <x v="2"/>
    <x v="6"/>
  </r>
  <r>
    <n v="8"/>
    <x v="7"/>
    <s v="https://www.peopleforanimalsindia.org"/>
    <x v="6"/>
    <x v="2"/>
    <x v="7"/>
  </r>
  <r>
    <n v="9"/>
    <x v="8"/>
    <s v="https://www.pratham.org"/>
    <x v="0"/>
    <x v="1"/>
    <x v="8"/>
  </r>
  <r>
    <n v="10"/>
    <x v="9"/>
    <s v="https://www.teachforindia.org"/>
    <x v="0"/>
    <x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4938D-18C7-4241-93B7-0610DFFC6F4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8" firstHeaderRow="1" firstDataRow="1" firstDataCol="1"/>
  <pivotFields count="6">
    <pivotField showAll="0"/>
    <pivotField showAll="0">
      <items count="11">
        <item x="0"/>
        <item x="1"/>
        <item x="3"/>
        <item x="4"/>
        <item x="7"/>
        <item x="8"/>
        <item x="5"/>
        <item x="2"/>
        <item x="9"/>
        <item x="6"/>
        <item t="default"/>
      </items>
    </pivotField>
    <pivotField showAll="0"/>
    <pivotField showAll="0">
      <items count="8">
        <item x="6"/>
        <item x="1"/>
        <item x="0"/>
        <item x="5"/>
        <item x="4"/>
        <item x="3"/>
        <item x="2"/>
        <item t="default"/>
      </items>
    </pivotField>
    <pivotField axis="axisRow" dataField="1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7"/>
        <item x="8"/>
        <item x="1"/>
        <item x="3"/>
        <item x="9"/>
        <item x="0"/>
        <item x="2"/>
        <item x="4"/>
        <item x="5"/>
        <item x="6"/>
        <item t="default"/>
      </items>
    </pivotField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Count of Headquarters" fld="4" subtotal="count" baseField="0" baseItem="0"/>
  </dataFields>
  <formats count="5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3" type="button" dataOnly="0" labelOnly="1" outline="0"/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chartFormats count="7">
    <chartFormat chart="1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6E0E73-7B9F-4E9C-B4CE-141C4C57E644}" name="Table1" displayName="Table1" ref="A2:F12" totalsRowShown="0" headerRowDxfId="16" dataDxfId="14" headerRowBorderDxfId="15" tableBorderDxfId="13" totalsRowBorderDxfId="12">
  <autoFilter ref="A2:F12" xr:uid="{776E0E73-7B9F-4E9C-B4CE-141C4C57E644}"/>
  <tableColumns count="6">
    <tableColumn id="1" xr3:uid="{D8335C78-F87D-4F23-827A-A035F24D7A6E}" name="S.No." dataDxfId="11"/>
    <tableColumn id="2" xr3:uid="{DB48467D-FBE6-421E-B6B9-7AECE85921CA}" name="NGO Name" dataDxfId="10"/>
    <tableColumn id="3" xr3:uid="{A6D4BDD2-51A8-4141-984F-391E56642A70}" name="Website" dataDxfId="9" dataCellStyle="Hyperlink"/>
    <tableColumn id="4" xr3:uid="{BE3DC14C-F361-4FCE-B259-057A28C91C5C}" name="Area of Work" dataDxfId="8"/>
    <tableColumn id="5" xr3:uid="{234B894E-6EE7-47BA-BE96-30F8989DC6C4}" name="Headquarters" dataDxfId="7"/>
    <tableColumn id="6" xr3:uid="{770E8D5C-FA17-44C9-A675-65478154685F}" name="Key Initiatives" dataDxfId="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1F9E26-929B-4493-901A-88ECD64BA00E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pfSiX0RNvo90Lzp44Qzav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milefoundationindia.org/" TargetMode="External"/><Relationship Id="rId3" Type="http://schemas.openxmlformats.org/officeDocument/2006/relationships/hyperlink" Target="https://www.peopleforanimalsindia.org/" TargetMode="External"/><Relationship Id="rId7" Type="http://schemas.openxmlformats.org/officeDocument/2006/relationships/hyperlink" Target="https://goonj.org/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pratham.org/" TargetMode="External"/><Relationship Id="rId1" Type="http://schemas.openxmlformats.org/officeDocument/2006/relationships/hyperlink" Target="https://www.teachforindia.org/" TargetMode="External"/><Relationship Id="rId6" Type="http://schemas.openxmlformats.org/officeDocument/2006/relationships/hyperlink" Target="https://www.helpageindia.org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sewa.org/" TargetMode="External"/><Relationship Id="rId10" Type="http://schemas.openxmlformats.org/officeDocument/2006/relationships/hyperlink" Target="https://www.akshayapatra.org/" TargetMode="External"/><Relationship Id="rId4" Type="http://schemas.openxmlformats.org/officeDocument/2006/relationships/hyperlink" Target="https://www.wwfindia.org/" TargetMode="External"/><Relationship Id="rId9" Type="http://schemas.openxmlformats.org/officeDocument/2006/relationships/hyperlink" Target="https://www.cry.org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43A9-762B-43CC-836B-17526CF2AF22}">
  <dimension ref="A1:I19"/>
  <sheetViews>
    <sheetView tabSelected="1" zoomScale="90" zoomScaleNormal="90" workbookViewId="0">
      <selection activeCell="F17" sqref="F17"/>
    </sheetView>
  </sheetViews>
  <sheetFormatPr defaultRowHeight="15" x14ac:dyDescent="0.25"/>
  <cols>
    <col min="1" max="1" width="15.7109375" customWidth="1"/>
    <col min="2" max="2" width="16" customWidth="1"/>
    <col min="3" max="3" width="13.28515625" customWidth="1"/>
    <col min="5" max="5" width="15.42578125" customWidth="1"/>
    <col min="9" max="9" width="107.140625" customWidth="1"/>
  </cols>
  <sheetData>
    <row r="1" spans="1:9" ht="13.5" customHeight="1" x14ac:dyDescent="0.25">
      <c r="A1" s="15" t="s">
        <v>66</v>
      </c>
      <c r="B1" s="16"/>
      <c r="C1" s="16"/>
      <c r="D1" s="16"/>
      <c r="E1" s="16"/>
      <c r="F1" s="16"/>
      <c r="G1" s="16"/>
      <c r="H1" s="16"/>
      <c r="I1" s="16"/>
    </row>
    <row r="2" spans="1:9" ht="13.5" customHeight="1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9" ht="13.5" customHeight="1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9" ht="13.5" customHeight="1" x14ac:dyDescent="0.25">
      <c r="A4" s="16"/>
      <c r="B4" s="16"/>
      <c r="C4" s="16"/>
      <c r="D4" s="16"/>
      <c r="E4" s="16"/>
      <c r="F4" s="16"/>
      <c r="G4" s="16"/>
      <c r="H4" s="16"/>
      <c r="I4" s="16"/>
    </row>
    <row r="5" spans="1:9" ht="13.5" customHeight="1" x14ac:dyDescent="0.25">
      <c r="A5" s="16"/>
      <c r="B5" s="16"/>
      <c r="C5" s="16"/>
      <c r="D5" s="16"/>
      <c r="E5" s="16"/>
      <c r="F5" s="16"/>
      <c r="G5" s="16"/>
      <c r="H5" s="16"/>
      <c r="I5" s="16"/>
    </row>
    <row r="6" spans="1:9" ht="13.5" customHeight="1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9" ht="13.5" customHeight="1" x14ac:dyDescent="0.25">
      <c r="A7" s="16"/>
      <c r="B7" s="16"/>
      <c r="C7" s="16"/>
      <c r="D7" s="16"/>
      <c r="E7" s="16"/>
      <c r="F7" s="16"/>
      <c r="G7" s="16"/>
      <c r="H7" s="16"/>
      <c r="I7" s="16"/>
    </row>
    <row r="8" spans="1:9" ht="13.5" customHeight="1" x14ac:dyDescent="0.25">
      <c r="A8" s="16"/>
      <c r="B8" s="16"/>
      <c r="C8" s="16"/>
      <c r="D8" s="16"/>
      <c r="E8" s="16"/>
      <c r="F8" s="16"/>
      <c r="G8" s="16"/>
      <c r="H8" s="16"/>
      <c r="I8" s="16"/>
    </row>
    <row r="9" spans="1:9" ht="13.5" customHeight="1" x14ac:dyDescent="0.25">
      <c r="A9" s="16"/>
      <c r="B9" s="16"/>
      <c r="C9" s="16"/>
      <c r="D9" s="16"/>
      <c r="E9" s="16"/>
      <c r="F9" s="16"/>
      <c r="G9" s="16"/>
      <c r="H9" s="16"/>
      <c r="I9" s="16"/>
    </row>
    <row r="10" spans="1:9" ht="13.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87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5" customHeight="1" x14ac:dyDescent="0.25">
      <c r="A16" s="14"/>
      <c r="B16" s="14"/>
      <c r="C16" s="14"/>
      <c r="D16" s="14"/>
      <c r="E16" s="14"/>
      <c r="F16" s="14"/>
      <c r="G16" s="14"/>
      <c r="H16" s="14"/>
    </row>
    <row r="19" spans="9:9" x14ac:dyDescent="0.25">
      <c r="I19" s="13"/>
    </row>
  </sheetData>
  <mergeCells count="2">
    <mergeCell ref="A16:H16"/>
    <mergeCell ref="A1:I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D9F69-6FBC-45E6-B9B5-3649BDD5074A}">
  <dimension ref="A1:G42"/>
  <sheetViews>
    <sheetView workbookViewId="0">
      <selection activeCell="J4" sqref="J4"/>
    </sheetView>
  </sheetViews>
  <sheetFormatPr defaultRowHeight="15" x14ac:dyDescent="0.25"/>
  <cols>
    <col min="1" max="1" width="14.28515625" customWidth="1"/>
    <col min="2" max="2" width="24.42578125" bestFit="1" customWidth="1"/>
    <col min="3" max="3" width="29" bestFit="1" customWidth="1"/>
    <col min="4" max="4" width="18.85546875" bestFit="1" customWidth="1"/>
    <col min="5" max="5" width="19" bestFit="1" customWidth="1"/>
    <col min="6" max="6" width="21.85546875" style="3" bestFit="1" customWidth="1"/>
  </cols>
  <sheetData>
    <row r="1" spans="1:6" ht="23.25" x14ac:dyDescent="0.35">
      <c r="A1" s="23" t="s">
        <v>43</v>
      </c>
      <c r="B1" s="24"/>
      <c r="C1" s="24"/>
      <c r="D1" s="24"/>
      <c r="E1" s="24"/>
      <c r="F1" s="25"/>
    </row>
    <row r="2" spans="1:6" s="4" customFormat="1" ht="15.75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ht="60" x14ac:dyDescent="0.25">
      <c r="A3" s="1">
        <v>1</v>
      </c>
      <c r="B3" s="1" t="s">
        <v>6</v>
      </c>
      <c r="C3" s="2" t="s">
        <v>7</v>
      </c>
      <c r="D3" s="1" t="s">
        <v>40</v>
      </c>
      <c r="E3" s="1" t="s">
        <v>8</v>
      </c>
      <c r="F3" s="1" t="s">
        <v>9</v>
      </c>
    </row>
    <row r="4" spans="1:6" ht="60" x14ac:dyDescent="0.25">
      <c r="A4" s="1">
        <v>2</v>
      </c>
      <c r="B4" s="1" t="s">
        <v>10</v>
      </c>
      <c r="C4" s="2" t="s">
        <v>11</v>
      </c>
      <c r="D4" s="1" t="s">
        <v>52</v>
      </c>
      <c r="E4" s="1" t="s">
        <v>12</v>
      </c>
      <c r="F4" s="1" t="s">
        <v>13</v>
      </c>
    </row>
    <row r="5" spans="1:6" ht="60" x14ac:dyDescent="0.25">
      <c r="A5" s="1">
        <v>3</v>
      </c>
      <c r="B5" s="1" t="s">
        <v>14</v>
      </c>
      <c r="C5" s="2" t="s">
        <v>15</v>
      </c>
      <c r="D5" s="1" t="s">
        <v>51</v>
      </c>
      <c r="E5" s="1" t="s">
        <v>16</v>
      </c>
      <c r="F5" s="1" t="s">
        <v>17</v>
      </c>
    </row>
    <row r="6" spans="1:6" ht="60" x14ac:dyDescent="0.25">
      <c r="A6" s="1">
        <v>4</v>
      </c>
      <c r="B6" s="1" t="s">
        <v>18</v>
      </c>
      <c r="C6" s="2" t="s">
        <v>19</v>
      </c>
      <c r="D6" s="1" t="s">
        <v>53</v>
      </c>
      <c r="E6" s="1" t="s">
        <v>16</v>
      </c>
      <c r="F6" s="1" t="s">
        <v>20</v>
      </c>
    </row>
    <row r="7" spans="1:6" ht="60" x14ac:dyDescent="0.25">
      <c r="A7" s="1">
        <v>5</v>
      </c>
      <c r="B7" s="1" t="s">
        <v>21</v>
      </c>
      <c r="C7" s="2" t="s">
        <v>22</v>
      </c>
      <c r="D7" s="1" t="s">
        <v>54</v>
      </c>
      <c r="E7" s="1" t="s">
        <v>16</v>
      </c>
      <c r="F7" s="1" t="s">
        <v>23</v>
      </c>
    </row>
    <row r="8" spans="1:6" ht="60" x14ac:dyDescent="0.25">
      <c r="A8" s="1">
        <v>6</v>
      </c>
      <c r="B8" s="1" t="s">
        <v>24</v>
      </c>
      <c r="C8" s="2" t="s">
        <v>25</v>
      </c>
      <c r="D8" s="1" t="s">
        <v>51</v>
      </c>
      <c r="E8" s="1" t="s">
        <v>26</v>
      </c>
      <c r="F8" s="1" t="s">
        <v>27</v>
      </c>
    </row>
    <row r="9" spans="1:6" ht="90" x14ac:dyDescent="0.25">
      <c r="A9" s="1">
        <v>7</v>
      </c>
      <c r="B9" s="1" t="s">
        <v>28</v>
      </c>
      <c r="C9" s="2" t="s">
        <v>29</v>
      </c>
      <c r="D9" s="1" t="s">
        <v>42</v>
      </c>
      <c r="E9" s="1" t="s">
        <v>16</v>
      </c>
      <c r="F9" s="1" t="s">
        <v>30</v>
      </c>
    </row>
    <row r="10" spans="1:6" ht="75" x14ac:dyDescent="0.25">
      <c r="A10" s="1">
        <v>8</v>
      </c>
      <c r="B10" s="1" t="s">
        <v>31</v>
      </c>
      <c r="C10" s="2" t="s">
        <v>32</v>
      </c>
      <c r="D10" s="1" t="s">
        <v>33</v>
      </c>
      <c r="E10" s="1" t="s">
        <v>16</v>
      </c>
      <c r="F10" s="1" t="s">
        <v>34</v>
      </c>
    </row>
    <row r="11" spans="1:6" ht="45" x14ac:dyDescent="0.25">
      <c r="A11" s="1">
        <v>9</v>
      </c>
      <c r="B11" s="1" t="s">
        <v>35</v>
      </c>
      <c r="C11" s="2" t="s">
        <v>36</v>
      </c>
      <c r="D11" s="1" t="s">
        <v>40</v>
      </c>
      <c r="E11" s="1" t="s">
        <v>12</v>
      </c>
      <c r="F11" s="1" t="s">
        <v>37</v>
      </c>
    </row>
    <row r="12" spans="1:6" ht="120" x14ac:dyDescent="0.25">
      <c r="A12" s="1">
        <v>10</v>
      </c>
      <c r="B12" s="1" t="s">
        <v>38</v>
      </c>
      <c r="C12" s="2" t="s">
        <v>39</v>
      </c>
      <c r="D12" s="1" t="s">
        <v>40</v>
      </c>
      <c r="E12" s="1" t="s">
        <v>12</v>
      </c>
      <c r="F12" s="1" t="s">
        <v>41</v>
      </c>
    </row>
    <row r="14" spans="1:6" ht="23.25" customHeight="1" x14ac:dyDescent="0.35">
      <c r="A14" s="26" t="s">
        <v>57</v>
      </c>
      <c r="B14" s="27"/>
    </row>
    <row r="15" spans="1:6" x14ac:dyDescent="0.25">
      <c r="A15" s="8" t="s">
        <v>44</v>
      </c>
      <c r="B15" s="8" t="s">
        <v>45</v>
      </c>
    </row>
    <row r="16" spans="1:6" x14ac:dyDescent="0.25">
      <c r="A16" s="12" t="s">
        <v>46</v>
      </c>
      <c r="B16" s="6">
        <f>COUNTA(B3:B12)</f>
        <v>10</v>
      </c>
    </row>
    <row r="17" spans="1:7" ht="30" x14ac:dyDescent="0.25">
      <c r="A17" s="12" t="s">
        <v>47</v>
      </c>
      <c r="B17" s="6">
        <f>COUNTIF(D:D,"education")</f>
        <v>3</v>
      </c>
    </row>
    <row r="18" spans="1:7" ht="30" x14ac:dyDescent="0.25">
      <c r="A18" s="12" t="s">
        <v>48</v>
      </c>
      <c r="B18" s="6">
        <f>COUNTIF(D:D,"Healthcare")</f>
        <v>1</v>
      </c>
    </row>
    <row r="19" spans="1:7" ht="30" x14ac:dyDescent="0.25">
      <c r="A19" s="12" t="s">
        <v>49</v>
      </c>
      <c r="B19" s="6">
        <f>COUNTIF(D:D,"Environment")</f>
        <v>1</v>
      </c>
    </row>
    <row r="20" spans="1:7" ht="45" x14ac:dyDescent="0.25">
      <c r="A20" s="12" t="s">
        <v>50</v>
      </c>
      <c r="B20" s="7">
        <f>COUNTIF(D:D,"Rural Development")</f>
        <v>1</v>
      </c>
    </row>
    <row r="21" spans="1:7" ht="30" x14ac:dyDescent="0.25">
      <c r="A21" s="12" t="s">
        <v>55</v>
      </c>
      <c r="B21" s="7">
        <f>COUNTIF(D:D,"Child Rights")</f>
        <v>1</v>
      </c>
    </row>
    <row r="22" spans="1:7" ht="30" x14ac:dyDescent="0.25">
      <c r="A22" s="12" t="s">
        <v>56</v>
      </c>
      <c r="B22" s="7">
        <f>COUNTIF(D:D,"Animal Welfare")</f>
        <v>1</v>
      </c>
    </row>
    <row r="23" spans="1:7" ht="30" x14ac:dyDescent="0.25">
      <c r="A23" s="12" t="s">
        <v>51</v>
      </c>
      <c r="B23" s="7">
        <f>COUNTIF(D:D,"Women Empowerment")</f>
        <v>2</v>
      </c>
    </row>
    <row r="25" spans="1:7" ht="24" customHeight="1" x14ac:dyDescent="0.25">
      <c r="A25" s="28" t="s">
        <v>60</v>
      </c>
      <c r="B25" s="29"/>
      <c r="C25" s="29"/>
      <c r="D25" s="29"/>
      <c r="E25" s="29"/>
      <c r="F25" s="29"/>
      <c r="G25" s="30"/>
    </row>
    <row r="26" spans="1:7" ht="24" customHeight="1" x14ac:dyDescent="0.25">
      <c r="A26" s="17" t="s">
        <v>61</v>
      </c>
      <c r="B26" s="18"/>
      <c r="C26" s="18"/>
      <c r="D26" s="18"/>
      <c r="E26" s="18"/>
      <c r="F26" s="18"/>
      <c r="G26" s="19"/>
    </row>
    <row r="27" spans="1:7" ht="24" customHeight="1" x14ac:dyDescent="0.25">
      <c r="A27" s="17" t="s">
        <v>62</v>
      </c>
      <c r="B27" s="18"/>
      <c r="C27" s="18"/>
      <c r="D27" s="18"/>
      <c r="E27" s="18"/>
      <c r="F27" s="18"/>
      <c r="G27" s="19"/>
    </row>
    <row r="28" spans="1:7" ht="24" customHeight="1" x14ac:dyDescent="0.25">
      <c r="A28" s="17" t="s">
        <v>63</v>
      </c>
      <c r="B28" s="18"/>
      <c r="C28" s="18"/>
      <c r="D28" s="18"/>
      <c r="E28" s="18"/>
      <c r="F28" s="18"/>
      <c r="G28" s="19"/>
    </row>
    <row r="29" spans="1:7" ht="36" customHeight="1" x14ac:dyDescent="0.25">
      <c r="A29" s="20" t="s">
        <v>64</v>
      </c>
      <c r="B29" s="21"/>
      <c r="C29" s="21"/>
      <c r="D29" s="21"/>
      <c r="E29" s="21"/>
      <c r="F29" s="21"/>
      <c r="G29" s="22"/>
    </row>
    <row r="42" spans="6:6" x14ac:dyDescent="0.25">
      <c r="F42"/>
    </row>
  </sheetData>
  <mergeCells count="7">
    <mergeCell ref="A28:G28"/>
    <mergeCell ref="A29:G29"/>
    <mergeCell ref="A1:F1"/>
    <mergeCell ref="A14:B14"/>
    <mergeCell ref="A25:G25"/>
    <mergeCell ref="A26:G26"/>
    <mergeCell ref="A27:G27"/>
  </mergeCells>
  <conditionalFormatting sqref="D2:D24 D41:D1048576">
    <cfRule type="containsText" dxfId="5" priority="2" operator="containsText" text="healthcare">
      <formula>NOT(ISERROR(SEARCH("healthcare",D2)))</formula>
    </cfRule>
    <cfRule type="containsText" dxfId="4" priority="3" operator="containsText" text="environment">
      <formula>NOT(ISERROR(SEARCH("environment",D2)))</formula>
    </cfRule>
    <cfRule type="containsText" dxfId="3" priority="4" operator="containsText" text="women empowerment">
      <formula>NOT(ISERROR(SEARCH("women empowerment",D2)))</formula>
    </cfRule>
    <cfRule type="containsText" dxfId="2" priority="5" operator="containsText" text="animal welfare">
      <formula>NOT(ISERROR(SEARCH("animal welfare",D2)))</formula>
    </cfRule>
    <cfRule type="containsText" dxfId="1" priority="6" operator="containsText" text="education">
      <formula>NOT(ISERROR(SEARCH("education",D2)))</formula>
    </cfRule>
  </conditionalFormatting>
  <conditionalFormatting sqref="D6">
    <cfRule type="containsText" dxfId="0" priority="1" operator="containsText" text="disaster">
      <formula>NOT(ISERROR(SEARCH("disaster",D6)))</formula>
    </cfRule>
  </conditionalFormatting>
  <dataValidations count="1">
    <dataValidation type="list" allowBlank="1" showInputMessage="1" showErrorMessage="1" sqref="D3:D12 D13:D24 D41:D1048576" xr:uid="{B066F79F-E6E1-4758-9D66-0902025E44EE}">
      <formula1>"Education,Child Rights,Healthcare,Women Empowerment,Animal Welfare,Environment,Rural Development"</formula1>
    </dataValidation>
  </dataValidations>
  <hyperlinks>
    <hyperlink ref="C12" r:id="rId1" display="https://www.teachforindia.org/" xr:uid="{3E8F24A8-58AC-4751-9BA8-10284879C86A}"/>
    <hyperlink ref="C11" r:id="rId2" display="https://www.pratham.org/" xr:uid="{353C04CB-442A-4D99-A8F0-68AE2889B69D}"/>
    <hyperlink ref="C10" r:id="rId3" display="https://www.peopleforanimalsindia.org/" xr:uid="{2BB12EBE-CF4C-4483-9E41-C3B85F7D590B}"/>
    <hyperlink ref="C9" r:id="rId4" display="https://www.wwfindia.org/" xr:uid="{0F479480-73B8-4813-ADD3-18E570040354}"/>
    <hyperlink ref="C8" r:id="rId5" display="https://www.sewa.org/" xr:uid="{6CCD2029-7D91-4BC3-9FB8-064961B02FF2}"/>
    <hyperlink ref="C7" r:id="rId6" display="https://www.helpageindia.org/" xr:uid="{66AADAEA-C251-4C08-ADDD-05F0672FA1AE}"/>
    <hyperlink ref="C6" r:id="rId7" display="https://goonj.org/" xr:uid="{00BB4CAF-66DD-4CBB-816E-C789CFD53A46}"/>
    <hyperlink ref="C5" r:id="rId8" display="https://www.smilefoundationindia.org/" xr:uid="{6116B6EB-8155-4740-93BE-4C73F2A46985}"/>
    <hyperlink ref="C4" r:id="rId9" display="https://www.cry.org/" xr:uid="{FBD08013-1F75-45D1-8D56-A7BFFCA0739B}"/>
    <hyperlink ref="C3" r:id="rId10" display="https://www.akshayapatra.org/" xr:uid="{FCD30911-BF2A-4659-B7E0-85404C5ECF28}"/>
  </hyperlinks>
  <pageMargins left="0.7" right="0.7" top="0.75" bottom="0.75" header="0.3" footer="0.3"/>
  <pageSetup orientation="portrait" r:id="rId11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2585-3C30-4C6F-AB77-4D9F4666BED5}">
  <dimension ref="A3:B24"/>
  <sheetViews>
    <sheetView workbookViewId="0">
      <selection activeCell="C16" sqref="C16"/>
    </sheetView>
  </sheetViews>
  <sheetFormatPr defaultRowHeight="15" x14ac:dyDescent="0.25"/>
  <cols>
    <col min="1" max="1" width="29.140625" bestFit="1" customWidth="1"/>
    <col min="2" max="2" width="30" bestFit="1" customWidth="1"/>
    <col min="3" max="3" width="28.140625" bestFit="1" customWidth="1"/>
    <col min="4" max="4" width="29.140625" bestFit="1" customWidth="1"/>
    <col min="5" max="5" width="14.42578125" bestFit="1" customWidth="1"/>
    <col min="6" max="6" width="15.7109375" bestFit="1" customWidth="1"/>
    <col min="7" max="7" width="22.140625" bestFit="1" customWidth="1"/>
    <col min="8" max="8" width="11.28515625" bestFit="1" customWidth="1"/>
  </cols>
  <sheetData>
    <row r="3" spans="1:2" ht="21" x14ac:dyDescent="0.35">
      <c r="A3" s="9" t="s">
        <v>58</v>
      </c>
      <c r="B3" s="10" t="s">
        <v>65</v>
      </c>
    </row>
    <row r="4" spans="1:2" ht="21" x14ac:dyDescent="0.35">
      <c r="A4" s="11" t="s">
        <v>16</v>
      </c>
      <c r="B4" s="31">
        <v>5</v>
      </c>
    </row>
    <row r="5" spans="1:2" ht="21" x14ac:dyDescent="0.35">
      <c r="A5" s="11" t="s">
        <v>12</v>
      </c>
      <c r="B5" s="31">
        <v>3</v>
      </c>
    </row>
    <row r="6" spans="1:2" ht="21" x14ac:dyDescent="0.35">
      <c r="A6" s="11" t="s">
        <v>26</v>
      </c>
      <c r="B6" s="31">
        <v>1</v>
      </c>
    </row>
    <row r="7" spans="1:2" ht="21" x14ac:dyDescent="0.35">
      <c r="A7" s="11" t="s">
        <v>8</v>
      </c>
      <c r="B7" s="31">
        <v>1</v>
      </c>
    </row>
    <row r="8" spans="1:2" ht="21" x14ac:dyDescent="0.35">
      <c r="A8" s="11" t="s">
        <v>59</v>
      </c>
      <c r="B8" s="31">
        <v>10</v>
      </c>
    </row>
    <row r="9" spans="1:2" ht="21" x14ac:dyDescent="0.35"/>
    <row r="10" spans="1:2" ht="21" x14ac:dyDescent="0.35"/>
    <row r="11" spans="1:2" ht="21" x14ac:dyDescent="0.35"/>
    <row r="12" spans="1:2" ht="21" x14ac:dyDescent="0.35"/>
    <row r="13" spans="1:2" ht="21" x14ac:dyDescent="0.35"/>
    <row r="14" spans="1:2" ht="21" x14ac:dyDescent="0.35"/>
    <row r="15" spans="1:2" ht="21" x14ac:dyDescent="0.35"/>
    <row r="16" spans="1:2" ht="21" x14ac:dyDescent="0.35"/>
    <row r="17" ht="21" x14ac:dyDescent="0.35"/>
    <row r="18" ht="21" x14ac:dyDescent="0.35"/>
    <row r="19" ht="21" x14ac:dyDescent="0.35"/>
    <row r="20" ht="21" x14ac:dyDescent="0.35"/>
    <row r="21" ht="21" x14ac:dyDescent="0.35"/>
    <row r="22" ht="21" x14ac:dyDescent="0.35"/>
    <row r="23" ht="21" x14ac:dyDescent="0.35"/>
    <row r="24" ht="21" x14ac:dyDescent="0.35"/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NGO Database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2026-08-04T14:00:42Z</dcterms:created>
  <dcterms:modified xsi:type="dcterms:W3CDTF">2026-08-05T11:51:38Z</dcterms:modified>
</cp:coreProperties>
</file>